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o\Marcos\universidade\dexiplinas\curso de engenharia e computadores e infurmatica\TRECEIROsemestre\Mecanica e Campo Eletromagentico\laboratorio\"/>
    </mc:Choice>
  </mc:AlternateContent>
  <xr:revisionPtr revIDLastSave="0" documentId="13_ncr:1_{B732CF65-A0FC-4285-ACFF-B44A0863BEFD}" xr6:coauthVersionLast="47" xr6:coauthVersionMax="47" xr10:uidLastSave="{00000000-0000-0000-0000-000000000000}"/>
  <bookViews>
    <workbookView xWindow="11424" yWindow="0" windowWidth="11712" windowHeight="12336" activeTab="1" xr2:uid="{BD699A2B-DB00-42D4-AD64-0DF561682AB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4" i="1"/>
  <c r="E2" i="1"/>
  <c r="E3" i="1" s="1"/>
  <c r="B7" i="1" l="1"/>
  <c r="E6" i="1"/>
  <c r="B5" i="1" s="1"/>
</calcChain>
</file>

<file path=xl/sharedStrings.xml><?xml version="1.0" encoding="utf-8"?>
<sst xmlns="http://schemas.openxmlformats.org/spreadsheetml/2006/main" count="75" uniqueCount="49">
  <si>
    <t>mp</t>
  </si>
  <si>
    <t>mb</t>
  </si>
  <si>
    <t>vb</t>
  </si>
  <si>
    <t>h</t>
  </si>
  <si>
    <t>mb+mp</t>
  </si>
  <si>
    <t>g</t>
  </si>
  <si>
    <t>vb*vb</t>
  </si>
  <si>
    <t>2*g</t>
  </si>
  <si>
    <t>mb/mb+mp =M</t>
  </si>
  <si>
    <t>M*M</t>
  </si>
  <si>
    <t>1,6cm</t>
  </si>
  <si>
    <t>para 7</t>
  </si>
  <si>
    <t>uk</t>
  </si>
  <si>
    <t>m/s</t>
  </si>
  <si>
    <t>kg</t>
  </si>
  <si>
    <t>m/(s^2)</t>
  </si>
  <si>
    <t>parteA</t>
  </si>
  <si>
    <t>ParteA</t>
  </si>
  <si>
    <t>Distância entre sensores</t>
  </si>
  <si>
    <t>Distância</t>
  </si>
  <si>
    <t>Erro</t>
  </si>
  <si>
    <t>± 0.005</t>
  </si>
  <si>
    <t>m</t>
  </si>
  <si>
    <t>Tempos medidos</t>
  </si>
  <si>
    <t>N</t>
  </si>
  <si>
    <t>Tempo</t>
  </si>
  <si>
    <t>Unidades</t>
  </si>
  <si>
    <t>s</t>
  </si>
  <si>
    <t>Tempo médio</t>
  </si>
  <si>
    <t>ângulo</t>
  </si>
  <si>
    <t>30°</t>
  </si>
  <si>
    <t>34°</t>
  </si>
  <si>
    <t>38°</t>
  </si>
  <si>
    <t>40°</t>
  </si>
  <si>
    <t>43°</t>
  </si>
  <si>
    <t>Alcances (m)</t>
  </si>
  <si>
    <t>Tempo (s)</t>
  </si>
  <si>
    <t>Erro ângular</t>
  </si>
  <si>
    <t>± 1°</t>
  </si>
  <si>
    <t>Alcances Médios</t>
  </si>
  <si>
    <t>Ângulos medidos</t>
  </si>
  <si>
    <t>26°</t>
  </si>
  <si>
    <t>25,5°</t>
  </si>
  <si>
    <t>20°</t>
  </si>
  <si>
    <t>19°</t>
  </si>
  <si>
    <t>18,5°</t>
  </si>
  <si>
    <t>ângulo médio</t>
  </si>
  <si>
    <t>21.80°</t>
  </si>
  <si>
    <t>± 1.63°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</si>
</sst>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/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D37ED-D2EF-4DC6-A5CA-3026FA7E7E19}">
  <dimension ref="A1:E10"/>
  <sheetViews>
    <sheetView topLeftCell="C1" workbookViewId="0">
      <selection activeCell="L9" sqref="L9"/>
    </sheetView>
  </sheetViews>
  <sheetFormatPr defaultRowHeight="14.4" x14ac:dyDescent="0.3"/>
  <cols>
    <col min="4" max="4" width="15" customWidth="1"/>
  </cols>
  <sheetData>
    <row r="1" spans="1:5" x14ac:dyDescent="0.3">
      <c r="A1" t="s">
        <v>11</v>
      </c>
    </row>
    <row r="2" spans="1:5" x14ac:dyDescent="0.3">
      <c r="A2" t="s">
        <v>2</v>
      </c>
      <c r="B2">
        <v>3.1</v>
      </c>
      <c r="C2" t="s">
        <v>13</v>
      </c>
      <c r="D2" t="s">
        <v>4</v>
      </c>
      <c r="E2">
        <f>B3+B4</f>
        <v>0.30109999999999998</v>
      </c>
    </row>
    <row r="3" spans="1:5" x14ac:dyDescent="0.3">
      <c r="A3" t="s">
        <v>0</v>
      </c>
      <c r="B3">
        <v>0.23799999999999999</v>
      </c>
      <c r="C3" t="s">
        <v>14</v>
      </c>
      <c r="D3" t="s">
        <v>8</v>
      </c>
      <c r="E3">
        <f>B4/E2</f>
        <v>0.20956492859515113</v>
      </c>
    </row>
    <row r="4" spans="1:5" x14ac:dyDescent="0.3">
      <c r="A4" t="s">
        <v>1</v>
      </c>
      <c r="B4">
        <v>6.3100000000000003E-2</v>
      </c>
      <c r="C4" t="s">
        <v>14</v>
      </c>
      <c r="D4" t="s">
        <v>6</v>
      </c>
      <c r="E4">
        <f>B2*B2</f>
        <v>9.6100000000000012</v>
      </c>
    </row>
    <row r="5" spans="1:5" x14ac:dyDescent="0.3">
      <c r="A5" s="1" t="s">
        <v>3</v>
      </c>
      <c r="B5" s="1">
        <f>E6*E4/E5</f>
        <v>2.1511049125639274E-2</v>
      </c>
      <c r="C5" t="s">
        <v>10</v>
      </c>
      <c r="D5" t="s">
        <v>7</v>
      </c>
      <c r="E5">
        <f>B6*2</f>
        <v>19.62</v>
      </c>
    </row>
    <row r="6" spans="1:5" x14ac:dyDescent="0.3">
      <c r="A6" t="s">
        <v>5</v>
      </c>
      <c r="B6">
        <v>9.81</v>
      </c>
      <c r="C6" t="s">
        <v>15</v>
      </c>
      <c r="D6" t="s">
        <v>9</v>
      </c>
      <c r="E6">
        <f>E3*E3</f>
        <v>4.3917459297090795E-2</v>
      </c>
    </row>
    <row r="7" spans="1:5" x14ac:dyDescent="0.3">
      <c r="A7" t="s">
        <v>12</v>
      </c>
      <c r="B7">
        <f>E3*B2</f>
        <v>0.64965127864496852</v>
      </c>
      <c r="C7" t="s">
        <v>13</v>
      </c>
    </row>
    <row r="10" spans="1:5" x14ac:dyDescent="0.3">
      <c r="A10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8F445-4970-4498-8193-1ED8D8A51F93}">
  <dimension ref="A4:V28"/>
  <sheetViews>
    <sheetView tabSelected="1" topLeftCell="M7" workbookViewId="0">
      <selection activeCell="P12" sqref="P12"/>
    </sheetView>
  </sheetViews>
  <sheetFormatPr defaultRowHeight="14.4" x14ac:dyDescent="0.3"/>
  <cols>
    <col min="4" max="4" width="11.6640625" customWidth="1"/>
    <col min="11" max="11" width="12.109375" customWidth="1"/>
    <col min="16" max="16" width="14.21875" customWidth="1"/>
    <col min="17" max="17" width="11.6640625" customWidth="1"/>
    <col min="21" max="21" width="12.109375" customWidth="1"/>
    <col min="22" max="22" width="10.44140625" customWidth="1"/>
  </cols>
  <sheetData>
    <row r="4" spans="1:22" x14ac:dyDescent="0.3">
      <c r="A4" t="s">
        <v>17</v>
      </c>
    </row>
    <row r="6" spans="1:22" x14ac:dyDescent="0.3">
      <c r="A6" s="4" t="s">
        <v>18</v>
      </c>
      <c r="B6" s="4"/>
      <c r="C6" s="4"/>
    </row>
    <row r="7" spans="1:22" x14ac:dyDescent="0.3">
      <c r="A7" s="2" t="s">
        <v>19</v>
      </c>
      <c r="B7" s="2" t="s">
        <v>20</v>
      </c>
      <c r="C7" s="2" t="s">
        <v>26</v>
      </c>
    </row>
    <row r="8" spans="1:22" x14ac:dyDescent="0.3">
      <c r="A8" s="2">
        <v>0.114</v>
      </c>
      <c r="B8" s="3" t="s">
        <v>21</v>
      </c>
      <c r="C8" s="2" t="s">
        <v>22</v>
      </c>
    </row>
    <row r="10" spans="1:22" x14ac:dyDescent="0.3">
      <c r="A10" s="5" t="s">
        <v>23</v>
      </c>
      <c r="B10" s="5"/>
      <c r="C10" s="5"/>
      <c r="D10" s="5"/>
      <c r="E10" s="5"/>
      <c r="I10" s="5" t="s">
        <v>23</v>
      </c>
      <c r="J10" s="5"/>
      <c r="K10" s="5"/>
      <c r="L10" s="5"/>
      <c r="N10" s="5" t="s">
        <v>39</v>
      </c>
      <c r="O10" s="5"/>
      <c r="P10" s="5"/>
      <c r="Q10" s="5"/>
      <c r="S10" s="5" t="s">
        <v>40</v>
      </c>
      <c r="T10" s="5"/>
      <c r="U10" s="5"/>
      <c r="V10" s="5"/>
    </row>
    <row r="11" spans="1:22" x14ac:dyDescent="0.3">
      <c r="A11" s="6" t="s">
        <v>24</v>
      </c>
      <c r="B11" s="6" t="s">
        <v>25</v>
      </c>
      <c r="C11" s="6" t="s">
        <v>26</v>
      </c>
      <c r="D11" s="7" t="s">
        <v>28</v>
      </c>
      <c r="E11" s="6" t="s">
        <v>20</v>
      </c>
      <c r="I11" s="6" t="s">
        <v>24</v>
      </c>
      <c r="J11" s="6" t="s">
        <v>36</v>
      </c>
      <c r="K11" s="6" t="s">
        <v>28</v>
      </c>
      <c r="L11" s="6" t="s">
        <v>20</v>
      </c>
      <c r="N11" s="6" t="s">
        <v>24</v>
      </c>
      <c r="O11" s="6" t="s">
        <v>29</v>
      </c>
      <c r="P11" s="6" t="s">
        <v>35</v>
      </c>
      <c r="Q11" s="6" t="s">
        <v>37</v>
      </c>
      <c r="S11" s="6" t="s">
        <v>24</v>
      </c>
      <c r="T11" s="6" t="s">
        <v>29</v>
      </c>
      <c r="U11" s="6" t="s">
        <v>46</v>
      </c>
      <c r="V11" s="6" t="s">
        <v>37</v>
      </c>
    </row>
    <row r="12" spans="1:22" x14ac:dyDescent="0.3">
      <c r="A12" s="8">
        <v>1</v>
      </c>
      <c r="B12" s="8">
        <v>4.2099999999999999E-2</v>
      </c>
      <c r="C12" s="8" t="s">
        <v>27</v>
      </c>
      <c r="D12" s="9">
        <v>4.2540000000000001E-2</v>
      </c>
      <c r="E12" s="9">
        <v>2.5999999999999998E-4</v>
      </c>
      <c r="I12" s="8">
        <v>1</v>
      </c>
      <c r="J12" s="8">
        <v>4.2099999999999999E-2</v>
      </c>
      <c r="K12" s="9">
        <v>4.2540000000000001E-2</v>
      </c>
      <c r="L12" s="9">
        <v>2.5999999999999998E-4</v>
      </c>
      <c r="N12" s="8">
        <v>1</v>
      </c>
      <c r="O12" s="8" t="s">
        <v>30</v>
      </c>
      <c r="P12" s="8">
        <v>0.82699999999999996</v>
      </c>
      <c r="Q12" s="9" t="s">
        <v>38</v>
      </c>
      <c r="S12" s="8">
        <v>1</v>
      </c>
      <c r="T12" s="8" t="s">
        <v>41</v>
      </c>
      <c r="U12" s="10" t="s">
        <v>47</v>
      </c>
      <c r="V12" s="9" t="s">
        <v>48</v>
      </c>
    </row>
    <row r="13" spans="1:22" x14ac:dyDescent="0.3">
      <c r="A13" s="8">
        <v>2</v>
      </c>
      <c r="B13" s="8">
        <v>4.3499999999999997E-2</v>
      </c>
      <c r="C13" s="8" t="s">
        <v>27</v>
      </c>
      <c r="D13" s="9"/>
      <c r="E13" s="9"/>
      <c r="I13" s="8">
        <v>2</v>
      </c>
      <c r="J13" s="8">
        <v>4.3499999999999997E-2</v>
      </c>
      <c r="K13" s="9"/>
      <c r="L13" s="9"/>
      <c r="N13" s="8">
        <v>2</v>
      </c>
      <c r="O13" s="8" t="s">
        <v>31</v>
      </c>
      <c r="P13" s="8">
        <v>0.80600000000000005</v>
      </c>
      <c r="Q13" s="9"/>
      <c r="S13" s="8">
        <v>2</v>
      </c>
      <c r="T13" s="8" t="s">
        <v>42</v>
      </c>
      <c r="U13" s="11"/>
      <c r="V13" s="9"/>
    </row>
    <row r="14" spans="1:22" x14ac:dyDescent="0.3">
      <c r="A14" s="8">
        <v>3</v>
      </c>
      <c r="B14" s="8">
        <v>4.2099999999999999E-2</v>
      </c>
      <c r="C14" s="8" t="s">
        <v>27</v>
      </c>
      <c r="D14" s="9"/>
      <c r="E14" s="9"/>
      <c r="I14" s="8">
        <v>3</v>
      </c>
      <c r="J14" s="8">
        <v>4.2099999999999999E-2</v>
      </c>
      <c r="K14" s="9"/>
      <c r="L14" s="9"/>
      <c r="N14" s="8">
        <v>3</v>
      </c>
      <c r="O14" s="8" t="s">
        <v>32</v>
      </c>
      <c r="P14" s="8">
        <v>0.79400000000000004</v>
      </c>
      <c r="Q14" s="9"/>
      <c r="S14" s="8">
        <v>3</v>
      </c>
      <c r="T14" s="8" t="s">
        <v>43</v>
      </c>
      <c r="U14" s="11"/>
      <c r="V14" s="9"/>
    </row>
    <row r="15" spans="1:22" x14ac:dyDescent="0.3">
      <c r="A15" s="8">
        <v>4</v>
      </c>
      <c r="B15" s="8">
        <v>4.2299999999999997E-2</v>
      </c>
      <c r="C15" s="8" t="s">
        <v>27</v>
      </c>
      <c r="D15" s="9"/>
      <c r="E15" s="9"/>
      <c r="I15" s="8">
        <v>4</v>
      </c>
      <c r="J15" s="8">
        <v>4.2299999999999997E-2</v>
      </c>
      <c r="K15" s="9"/>
      <c r="L15" s="9"/>
      <c r="N15" s="8">
        <v>4</v>
      </c>
      <c r="O15" s="8" t="s">
        <v>33</v>
      </c>
      <c r="P15" s="8">
        <v>0.77400000000000002</v>
      </c>
      <c r="Q15" s="9"/>
      <c r="S15" s="8">
        <v>4</v>
      </c>
      <c r="T15" s="8" t="s">
        <v>44</v>
      </c>
      <c r="U15" s="11"/>
      <c r="V15" s="9"/>
    </row>
    <row r="16" spans="1:22" x14ac:dyDescent="0.3">
      <c r="A16" s="8">
        <v>5</v>
      </c>
      <c r="B16" s="8">
        <v>4.2700000000000002E-2</v>
      </c>
      <c r="C16" s="8" t="s">
        <v>27</v>
      </c>
      <c r="D16" s="9"/>
      <c r="E16" s="9"/>
      <c r="I16" s="8">
        <v>5</v>
      </c>
      <c r="J16" s="8">
        <v>4.2700000000000002E-2</v>
      </c>
      <c r="K16" s="9"/>
      <c r="L16" s="9"/>
      <c r="N16" s="8">
        <v>5</v>
      </c>
      <c r="O16" s="8" t="s">
        <v>34</v>
      </c>
      <c r="P16" s="8">
        <v>0.77200000000000002</v>
      </c>
      <c r="Q16" s="9"/>
      <c r="S16" s="8">
        <v>5</v>
      </c>
      <c r="T16" s="8" t="s">
        <v>45</v>
      </c>
      <c r="U16" s="12"/>
      <c r="V16" s="9"/>
    </row>
    <row r="22" spans="9:12" x14ac:dyDescent="0.3">
      <c r="I22" s="5" t="s">
        <v>23</v>
      </c>
      <c r="J22" s="5"/>
      <c r="K22" s="5"/>
      <c r="L22" s="5"/>
    </row>
    <row r="23" spans="9:12" x14ac:dyDescent="0.3">
      <c r="I23" s="6" t="s">
        <v>24</v>
      </c>
      <c r="J23" s="6" t="s">
        <v>29</v>
      </c>
      <c r="K23" s="6" t="s">
        <v>28</v>
      </c>
      <c r="L23" s="6" t="s">
        <v>20</v>
      </c>
    </row>
    <row r="24" spans="9:12" x14ac:dyDescent="0.3">
      <c r="I24" s="8">
        <v>1</v>
      </c>
      <c r="J24" s="8" t="s">
        <v>30</v>
      </c>
      <c r="K24" s="9">
        <v>4.2540000000000001E-2</v>
      </c>
      <c r="L24" s="9">
        <v>2.5999999999999998E-4</v>
      </c>
    </row>
    <row r="25" spans="9:12" x14ac:dyDescent="0.3">
      <c r="I25" s="8">
        <v>2</v>
      </c>
      <c r="J25" s="8" t="s">
        <v>31</v>
      </c>
      <c r="K25" s="9"/>
      <c r="L25" s="9"/>
    </row>
    <row r="26" spans="9:12" x14ac:dyDescent="0.3">
      <c r="I26" s="8">
        <v>3</v>
      </c>
      <c r="J26" s="8" t="s">
        <v>32</v>
      </c>
      <c r="K26" s="9"/>
      <c r="L26" s="9"/>
    </row>
    <row r="27" spans="9:12" x14ac:dyDescent="0.3">
      <c r="I27" s="8">
        <v>4</v>
      </c>
      <c r="J27" s="8" t="s">
        <v>33</v>
      </c>
      <c r="K27" s="9"/>
      <c r="L27" s="9"/>
    </row>
    <row r="28" spans="9:12" x14ac:dyDescent="0.3">
      <c r="I28" s="8">
        <v>5</v>
      </c>
      <c r="J28" s="8" t="s">
        <v>34</v>
      </c>
      <c r="K28" s="9"/>
      <c r="L28" s="9"/>
    </row>
  </sheetData>
  <mergeCells count="15">
    <mergeCell ref="Q12:Q16"/>
    <mergeCell ref="N10:Q10"/>
    <mergeCell ref="S10:V10"/>
    <mergeCell ref="V12:V16"/>
    <mergeCell ref="U12:U16"/>
    <mergeCell ref="I22:L22"/>
    <mergeCell ref="K24:K28"/>
    <mergeCell ref="L24:L28"/>
    <mergeCell ref="A6:C6"/>
    <mergeCell ref="D12:D16"/>
    <mergeCell ref="E12:E16"/>
    <mergeCell ref="A10:E10"/>
    <mergeCell ref="I10:L10"/>
    <mergeCell ref="K12:K16"/>
    <mergeCell ref="L12:L16"/>
  </mergeCells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Matos Koufaliotis</dc:creator>
  <cp:lastModifiedBy>Marcos Matos Koufaliotis</cp:lastModifiedBy>
  <dcterms:created xsi:type="dcterms:W3CDTF">2025-10-28T15:35:39Z</dcterms:created>
  <dcterms:modified xsi:type="dcterms:W3CDTF">2025-10-30T16:17:23Z</dcterms:modified>
</cp:coreProperties>
</file>